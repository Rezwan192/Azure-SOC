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<sst xmlns="http://schemas.openxmlformats.org/spreadsheetml/2006/main" count="61" uniqueCount="37">
  <si>
    <t>BEFORE SECURING ENVIRONMENT</t>
  </si>
  <si>
    <t>Start Time</t>
  </si>
  <si>
    <t>2025-10-09T17:20:20.5961044Z</t>
  </si>
  <si>
    <t>Stop Time</t>
  </si>
  <si>
    <t>2025-10-10T17:20:20.5961044Z</t>
  </si>
  <si>
    <t>SecurityIncident (Sentinel Incidents)</t>
  </si>
  <si>
    <t>SecurityEvent (Windows VM)</t>
  </si>
  <si>
    <t>Windows RDP / SMB Auth Fail</t>
  </si>
  <si>
    <t>SQL Server Auth Fail</t>
  </si>
  <si>
    <t>Syslog (Linux VM)</t>
  </si>
  <si>
    <t>Linux SSH Auth Fail</t>
  </si>
  <si>
    <t>NSG Inbound Malicious Flows Allowed</t>
  </si>
  <si>
    <t>NSG Inbound Malicious Flows Blocked</t>
  </si>
  <si>
    <t>AFTER SECURING ENVIRONMENT</t>
  </si>
  <si>
    <t>2025-10-23T23:30:10.4821937Z</t>
  </si>
  <si>
    <t>2025-10-24T23:30:10.4821937Z</t>
  </si>
  <si>
    <t>RESULTS (will auto update, do not edit formulas)</t>
  </si>
  <si>
    <t>Change after security environment</t>
  </si>
  <si>
    <t>Security Incident (Sentinel Incidents)</t>
  </si>
  <si>
    <t>Security Events (Windows VMs)</t>
  </si>
  <si>
    <t>Syslog (Linux VMs)</t>
  </si>
  <si>
    <t>QUERIES</t>
  </si>
  <si>
    <t>KQL Queries</t>
  </si>
  <si>
    <t>range x from 1 to 1 step 1
| project StartTime = ago(24h), StopTime = now()</t>
  </si>
  <si>
    <t>SecurityIncident
| count</t>
  </si>
  <si>
    <t>SecurityEvent (Windows VMs)</t>
  </si>
  <si>
    <t>SecurityEvent
| count
// See cell to the right to view updated query, excluding expected system logs</t>
  </si>
  <si>
    <t>SecurityEvent
| where EventID !in (4907, 4798, 4799)  // very common policy/object mgmt noise
| extend AccountLower = tolower(Account)
| where not (
      // Exclude known harmless subsystem accounts
      AccountLower has_any (
          "font driver host\\umfd", 
          "window manager\\dwm",
          "anonymous logon"
      )
      or AccountLower endswith "$" // machine accounts
      or AccountLower has "virtualapp" // cached credential lookups
  )
| extend IsServiceAccount = AccountLower startswith "nt service\\"
| extend IsSystem = AccountLower contains "nt authority\\system"
| extend Suspicious = case(
      // Privilege escalation — include service accounts
      EventID in (4672, 4673, 4674), 1,
      // High-privilege process creation — include service accounts
      EventID == 4688 and CommandLine has_any ("net user", "sc ", "psexec", "task", "schtasks"), 1,
      // Service creation/modification — include service accounts
      EventID in (4697, 7045), 1,
      // Interactive / remote logons — exclude SYSTEM/service accounts
      EventID == 4624 and LogonType in (4,5) and not(IsServiceAccount) and not(IsSystem), 1,
      0
)
| where Suspicious == 1</t>
  </si>
  <si>
    <t>SecurityEvent
| where EventID == 4625
| count</t>
  </si>
  <si>
    <t xml:space="preserve">Event
| where EventLog == "Application"
| where EventID == 18456
| count </t>
  </si>
  <si>
    <t>Syslog
| count</t>
  </si>
  <si>
    <t>Syslog
| where Facility == "auth"
| where SyslogMessage startswith "Failed password for"
| count</t>
  </si>
  <si>
    <t>Threat Identified and Action Taken (Microsoft Defender AV)</t>
  </si>
  <si>
    <t>Event
| where EventLog == "Microsoft-Windows-Windows Defender/Operational"
| where EventID in (1116, 1117)
| where TimeGenerated &gt;= ago(24h)
| count</t>
  </si>
  <si>
    <t>Excluded from above metrics as there were zero threats detected by the Microsoft Defender AV before hardening</t>
  </si>
  <si>
    <t>NTANetAnalytics
| where FlowType == "MaliciousFlow" and AllowedInFlows &gt; 0
| count</t>
  </si>
  <si>
    <t>NTANetAnalytics
| where FlowType == "MaliciousFlow" and DeniedInFlows &gt; 0
| count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</si>
</sst>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18.0"/>
      <color rgb="FFFF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b/>
      <sz val="18.0"/>
      <color rgb="FF6AA84F"/>
      <name val="Arial"/>
      <scheme val="minor"/>
    </font>
    <font>
      <b/>
      <sz val="18.0"/>
      <color rgb="FF3D85C6"/>
      <name val="Arial"/>
      <scheme val="minor"/>
    </font>
    <font>
      <b/>
      <sz val="18.0"/>
      <color rgb="FFA64D79"/>
      <name val="Arial"/>
      <scheme val="minor"/>
    </font>
    <font/>
    <font>
      <b/>
      <u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7">
    <border/>
    <border>
      <left style="thick">
        <color rgb="FF000000"/>
      </left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</border>
    <border>
      <right style="thick">
        <color rgb="FF000000"/>
      </right>
    </border>
    <border>
      <left style="thick">
        <color rgb="FF000000"/>
      </left>
      <bottom style="thick">
        <color rgb="FF000000"/>
      </bottom>
    </border>
    <border>
      <right style="thick">
        <color rgb="FF000000"/>
      </right>
      <bottom style="thick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wrapText="0"/>
    </xf>
    <xf borderId="0" fillId="0" fontId="2" numFmtId="0" xfId="0" applyAlignment="1" applyFont="1">
      <alignment readingOrder="0" shrinkToFit="0" wrapText="0"/>
    </xf>
    <xf borderId="0" fillId="0" fontId="2" numFmtId="0" xfId="0" applyAlignment="1" applyFont="1">
      <alignment shrinkToFit="0" wrapText="0"/>
    </xf>
    <xf borderId="0" fillId="0" fontId="3" numFmtId="0" xfId="0" applyAlignment="1" applyFont="1">
      <alignment readingOrder="0" shrinkToFit="0" wrapText="0"/>
    </xf>
    <xf borderId="0" fillId="0" fontId="2" numFmtId="0" xfId="0" applyAlignment="1" applyFont="1">
      <alignment horizontal="left" readingOrder="0" shrinkToFit="0" wrapText="0"/>
    </xf>
    <xf borderId="0" fillId="0" fontId="4" numFmtId="0" xfId="0" applyAlignment="1" applyFont="1">
      <alignment horizontal="center" readingOrder="0" shrinkToFit="0" wrapText="0"/>
    </xf>
    <xf borderId="0" fillId="0" fontId="2" numFmtId="0" xfId="0" applyAlignment="1" applyFont="1">
      <alignment readingOrder="0" shrinkToFit="0" wrapText="0"/>
    </xf>
    <xf borderId="0" fillId="0" fontId="5" numFmtId="0" xfId="0" applyAlignment="1" applyFont="1">
      <alignment horizontal="center" readingOrder="0" shrinkToFit="0" wrapText="0"/>
    </xf>
    <xf borderId="0" fillId="0" fontId="6" numFmtId="0" xfId="0" applyAlignment="1" applyFont="1">
      <alignment horizontal="center" readingOrder="0" shrinkToFit="0" wrapText="0"/>
    </xf>
    <xf borderId="1" fillId="0" fontId="6" numFmtId="0" xfId="0" applyAlignment="1" applyBorder="1" applyFont="1">
      <alignment horizontal="center" readingOrder="0" shrinkToFit="0" wrapText="0"/>
    </xf>
    <xf borderId="2" fillId="0" fontId="7" numFmtId="0" xfId="0" applyBorder="1" applyFont="1"/>
    <xf borderId="3" fillId="0" fontId="2" numFmtId="0" xfId="0" applyAlignment="1" applyBorder="1" applyFont="1">
      <alignment readingOrder="0" shrinkToFit="0" wrapText="0"/>
    </xf>
    <xf borderId="4" fillId="0" fontId="3" numFmtId="0" xfId="0" applyAlignment="1" applyBorder="1" applyFont="1">
      <alignment horizontal="left" readingOrder="0" shrinkToFit="0" wrapText="0"/>
    </xf>
    <xf borderId="4" fillId="0" fontId="2" numFmtId="10" xfId="0" applyAlignment="1" applyBorder="1" applyFont="1" applyNumberFormat="1">
      <alignment horizontal="left" shrinkToFit="0" wrapText="0"/>
    </xf>
    <xf borderId="5" fillId="0" fontId="2" numFmtId="0" xfId="0" applyAlignment="1" applyBorder="1" applyFont="1">
      <alignment readingOrder="0" shrinkToFit="0" wrapText="0"/>
    </xf>
    <xf borderId="6" fillId="0" fontId="2" numFmtId="10" xfId="0" applyAlignment="1" applyBorder="1" applyFont="1" applyNumberFormat="1">
      <alignment horizontal="left" shrinkToFit="0" wrapText="0"/>
    </xf>
    <xf borderId="0" fillId="0" fontId="8" numFmtId="0" xfId="0" applyAlignment="1" applyFont="1">
      <alignment readingOrder="0" shrinkToFit="0" wrapText="0"/>
    </xf>
    <xf borderId="0" fillId="0" fontId="2" numFmtId="0" xfId="0" applyAlignment="1" applyFont="1">
      <alignment readingOrder="0" shrinkToFit="0" wrapText="0"/>
    </xf>
    <xf borderId="0" fillId="0" fontId="2" numFmtId="0" xfId="0" applyAlignment="1" applyFont="1">
      <alignment shrinkToFit="0" wrapText="0"/>
    </xf>
  </cellXfs>
  <cellStyles count="1">
    <cellStyle xfId="0" name="Normal" builtinId="0"/>
  </cellStyles>
  <dxfs count="2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0"/>
    <col customWidth="1" min="2" max="2" width="53.13"/>
    <col customWidth="1" min="3" max="3" width="40.5"/>
    <col customWidth="1" min="4" max="4" width="58.38"/>
    <col customWidth="1" min="5" max="5" width="25.5"/>
  </cols>
  <sheetData>
    <row r="1">
      <c r="A1" s="1"/>
      <c r="B1" s="1" t="s">
        <v>0</v>
      </c>
      <c r="D1" s="2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2"/>
      <c r="B2" s="2"/>
      <c r="C2" s="4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2"/>
      <c r="B3" s="2" t="s">
        <v>1</v>
      </c>
      <c r="C3" s="5" t="s">
        <v>2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2"/>
      <c r="B4" s="2" t="s">
        <v>3</v>
      </c>
      <c r="C4" s="5" t="s">
        <v>4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2"/>
      <c r="B5" s="2" t="s">
        <v>5</v>
      </c>
      <c r="C5" s="5">
        <v>251.0</v>
      </c>
      <c r="D5" s="2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2"/>
      <c r="B6" s="2" t="s">
        <v>6</v>
      </c>
      <c r="C6" s="5">
        <v>726.0</v>
      </c>
      <c r="D6" s="2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2"/>
      <c r="B7" s="2" t="s">
        <v>7</v>
      </c>
      <c r="C7" s="5">
        <v>422.0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2"/>
      <c r="B8" s="2" t="s">
        <v>8</v>
      </c>
      <c r="C8" s="5">
        <v>400.0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2"/>
      <c r="B9" s="2" t="s">
        <v>9</v>
      </c>
      <c r="C9" s="5">
        <v>18434.0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6"/>
      <c r="B10" s="2" t="s">
        <v>10</v>
      </c>
      <c r="C10" s="5">
        <v>4945.0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6"/>
      <c r="B11" s="2" t="s">
        <v>11</v>
      </c>
      <c r="C11" s="5">
        <v>1481.0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6"/>
      <c r="B12" s="2" t="s">
        <v>12</v>
      </c>
      <c r="C12" s="5">
        <v>0.0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6"/>
      <c r="B13" s="6"/>
      <c r="C13" s="6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6"/>
      <c r="B14" s="6" t="s">
        <v>13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2"/>
      <c r="B15" s="2"/>
      <c r="C15" s="7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2"/>
      <c r="B16" s="2" t="s">
        <v>1</v>
      </c>
      <c r="C16" s="5" t="s">
        <v>14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2"/>
      <c r="B17" s="2" t="s">
        <v>3</v>
      </c>
      <c r="C17" s="5" t="s">
        <v>15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2"/>
      <c r="B18" s="2" t="s">
        <v>5</v>
      </c>
      <c r="C18" s="5">
        <v>0.0</v>
      </c>
      <c r="D18" s="2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2"/>
      <c r="B19" s="2" t="s">
        <v>6</v>
      </c>
      <c r="C19" s="5">
        <v>171.0</v>
      </c>
      <c r="D19" s="2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2"/>
      <c r="B20" s="2" t="s">
        <v>7</v>
      </c>
      <c r="C20" s="5">
        <v>0.0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2"/>
      <c r="B21" s="2" t="s">
        <v>8</v>
      </c>
      <c r="C21" s="5">
        <v>0.0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2"/>
      <c r="B22" s="2" t="s">
        <v>9</v>
      </c>
      <c r="C22" s="5">
        <v>12.0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2"/>
      <c r="B23" s="2" t="s">
        <v>10</v>
      </c>
      <c r="C23" s="5">
        <v>0.0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8"/>
      <c r="B24" s="2" t="s">
        <v>11</v>
      </c>
      <c r="C24" s="5">
        <v>0.0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8"/>
      <c r="B25" s="2" t="s">
        <v>12</v>
      </c>
      <c r="C25" s="5">
        <v>351.0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8"/>
      <c r="B26" s="9"/>
      <c r="C26" s="9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8"/>
      <c r="B27" s="10" t="s">
        <v>16</v>
      </c>
      <c r="C27" s="11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8"/>
      <c r="B28" s="12"/>
      <c r="C28" s="13" t="s">
        <v>17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8"/>
      <c r="B29" s="12" t="s">
        <v>18</v>
      </c>
      <c r="C29" s="14">
        <f t="shared" ref="C29:C34" si="1">(C18-C5)/C5</f>
        <v>-1</v>
      </c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8"/>
      <c r="B30" s="12" t="s">
        <v>19</v>
      </c>
      <c r="C30" s="14">
        <f t="shared" si="1"/>
        <v>-0.7644628099</v>
      </c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8"/>
      <c r="B31" s="12" t="s">
        <v>7</v>
      </c>
      <c r="C31" s="14">
        <f t="shared" si="1"/>
        <v>-1</v>
      </c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8"/>
      <c r="B32" s="12" t="s">
        <v>8</v>
      </c>
      <c r="C32" s="14">
        <f t="shared" si="1"/>
        <v>-1</v>
      </c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8"/>
      <c r="B33" s="12" t="s">
        <v>20</v>
      </c>
      <c r="C33" s="14">
        <f t="shared" si="1"/>
        <v>-0.999349029</v>
      </c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8"/>
      <c r="B34" s="12" t="s">
        <v>10</v>
      </c>
      <c r="C34" s="14">
        <f t="shared" si="1"/>
        <v>-1</v>
      </c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8"/>
      <c r="B35" s="12" t="s">
        <v>18</v>
      </c>
      <c r="C35" s="14">
        <f>(C18-C5)/C5</f>
        <v>-1</v>
      </c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8"/>
      <c r="B36" s="15" t="s">
        <v>11</v>
      </c>
      <c r="C36" s="16">
        <f>(C24-C11)/C11</f>
        <v>-1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8"/>
      <c r="B37" s="8"/>
      <c r="C37" s="8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8"/>
      <c r="B38" s="8"/>
      <c r="C38" s="8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8"/>
      <c r="B39" s="8"/>
      <c r="C39" s="8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8"/>
      <c r="B40" s="8"/>
      <c r="C40" s="8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8"/>
      <c r="B41" s="8" t="s">
        <v>21</v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C42" s="17" t="s">
        <v>22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2"/>
      <c r="B43" s="2" t="s">
        <v>1</v>
      </c>
      <c r="C43" s="7" t="s">
        <v>23</v>
      </c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2"/>
      <c r="B44" s="2" t="s">
        <v>3</v>
      </c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31.5" customHeight="1">
      <c r="A45" s="2"/>
      <c r="B45" s="2" t="s">
        <v>5</v>
      </c>
      <c r="C45" s="7" t="s">
        <v>24</v>
      </c>
      <c r="D45" s="2"/>
      <c r="E45" s="2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42.0" customHeight="1">
      <c r="A46" s="2"/>
      <c r="B46" s="2" t="s">
        <v>25</v>
      </c>
      <c r="C46" s="7" t="s">
        <v>26</v>
      </c>
      <c r="D46" s="2" t="s">
        <v>27</v>
      </c>
      <c r="E46" s="2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2"/>
      <c r="B47" s="2" t="s">
        <v>7</v>
      </c>
      <c r="C47" s="7" t="s">
        <v>28</v>
      </c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2"/>
      <c r="B48" s="2" t="s">
        <v>8</v>
      </c>
      <c r="C48" s="7" t="s">
        <v>29</v>
      </c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2"/>
      <c r="B49" s="2" t="s">
        <v>20</v>
      </c>
      <c r="C49" s="7" t="s">
        <v>30</v>
      </c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2"/>
      <c r="B50" s="2" t="s">
        <v>10</v>
      </c>
      <c r="C50" s="7" t="s">
        <v>31</v>
      </c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2"/>
      <c r="B51" s="2" t="s">
        <v>32</v>
      </c>
      <c r="C51" s="7" t="s">
        <v>33</v>
      </c>
      <c r="D51" s="2" t="s">
        <v>34</v>
      </c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18" t="s">
        <v>11</v>
      </c>
      <c r="C52" s="7" t="s">
        <v>35</v>
      </c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2" t="s">
        <v>12</v>
      </c>
      <c r="C53" s="7" t="s">
        <v>36</v>
      </c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19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19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19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19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19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19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19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19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19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19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19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19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19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19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19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19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19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19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19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19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19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19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19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19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19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19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19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19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19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19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19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19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19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19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19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19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19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19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19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19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19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19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19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19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19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19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19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19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19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19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19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19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19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19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19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19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19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19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19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19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19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19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19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19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19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19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19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19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19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19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19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19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19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19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19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19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19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19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19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19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19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19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19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19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19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19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19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19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19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19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19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19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19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19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19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19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19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19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19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19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19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19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19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19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19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19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19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19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19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19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19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19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19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19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19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19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19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19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19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19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19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19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19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19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19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19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19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19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19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19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19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19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19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19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19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19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19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19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19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19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19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19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19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19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19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19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19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19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19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19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19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19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19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19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19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19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19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19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19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19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19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19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19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19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19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19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19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19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19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19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19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19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19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19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19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19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19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19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19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19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19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19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19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19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19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19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19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19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19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19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19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19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19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19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19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19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19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19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19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19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19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19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19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19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19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19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19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19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19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19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19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19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19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19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19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19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19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19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19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19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19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19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19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19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19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19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19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19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19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19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19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19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19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19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19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19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19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19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19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19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19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19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19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19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19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19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19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19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19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19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19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19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19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19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19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19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19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19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19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19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19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19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19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19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19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19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19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19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19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19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19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19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19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19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19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19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19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19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19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19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19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19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19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19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19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19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19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19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19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19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19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19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19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19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19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19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19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19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19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19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19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19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19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19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19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19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19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19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19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19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19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19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19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19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19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19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19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19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19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19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19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19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19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19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19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19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19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19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19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19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19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19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19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19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19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19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19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19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19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19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19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19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19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19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19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19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19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19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19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19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19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19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19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19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19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19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19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19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19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19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19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19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19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19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19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19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19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19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19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19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19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19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19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19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19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19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19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19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19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19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19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19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19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19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19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19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19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19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19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19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19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19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19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19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19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19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19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19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19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19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19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19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19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19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19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19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19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19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19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19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19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19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19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19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19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19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19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19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19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19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19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19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19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19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19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19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19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19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19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19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19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19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19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19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19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19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19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19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19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19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19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19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19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19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19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19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19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19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19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19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19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19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19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19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19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19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19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19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19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19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19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19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19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19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19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19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19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19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19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19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19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19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19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19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19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19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19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19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19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19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19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19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19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19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19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19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19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19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19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19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19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19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19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19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19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19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19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19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19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19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19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19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19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19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19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19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19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19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19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19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19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19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19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19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19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19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19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19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19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19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19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19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19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19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19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19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19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19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19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19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19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19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19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19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19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19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19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19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19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19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19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19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19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19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19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19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19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19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19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19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19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19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19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19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19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19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19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19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19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19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19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19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19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19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19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19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19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19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19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19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19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19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19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19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19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19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19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19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19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19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19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19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19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19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19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19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19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19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19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19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19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19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19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19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19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19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19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19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19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19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19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19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19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19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19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19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19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19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19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19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19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19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19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19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19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19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19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19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19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19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19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19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19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19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19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19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19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19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19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19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19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19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19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19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19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19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19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19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19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19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19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19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19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19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19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19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19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19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19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19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19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19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19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19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19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19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19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19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19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19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19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19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19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19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19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19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19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19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19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19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19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19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19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19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19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19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19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19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19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19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19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19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19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19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19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19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19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19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19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19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19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19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19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19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19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19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19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19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19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19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19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19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19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19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19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19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19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19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19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19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19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19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19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19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19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19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19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19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19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19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19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19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19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19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19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19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19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19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19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19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19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19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19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19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19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19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19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19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19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19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19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19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19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19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19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19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19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19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19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19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19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19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19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19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19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19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19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19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19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19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19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19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19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19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19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19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19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19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19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19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19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19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19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19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19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19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19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19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19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19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19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19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19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19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19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19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19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19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19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19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19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19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19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19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19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19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19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19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19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19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19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19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19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19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19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19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19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19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19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19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19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19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19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19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19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19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19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19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19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19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19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19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19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19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19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19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19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19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19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19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19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19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19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19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19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19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19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19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19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19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19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19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19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19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19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19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19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19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19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19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19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19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19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19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19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19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19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19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19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19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19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19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19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19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19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19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19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19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19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19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19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19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19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19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19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19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19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19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19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19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19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19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19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19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19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19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19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19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19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19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19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19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19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19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19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19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19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19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19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19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19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19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19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19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19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19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19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19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19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19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19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19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19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19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19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19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19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19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19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19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19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19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19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19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19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19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19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19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19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19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19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19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19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19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19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19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19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19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19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19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19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19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19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19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19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19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19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>
      <c r="A1001" s="3"/>
      <c r="B1001" s="3"/>
      <c r="C1001" s="19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>
      <c r="A1002" s="3"/>
      <c r="B1002" s="3"/>
      <c r="C1002" s="19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>
      <c r="A1003" s="3"/>
      <c r="B1003" s="3"/>
      <c r="C1003" s="19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>
      <c r="A1004" s="3"/>
      <c r="B1004" s="3"/>
      <c r="C1004" s="19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  <row r="1005">
      <c r="A1005" s="3"/>
      <c r="B1005" s="3"/>
      <c r="C1005" s="19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</row>
    <row r="1006">
      <c r="A1006" s="3"/>
      <c r="B1006" s="3"/>
      <c r="C1006" s="19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</row>
    <row r="1007">
      <c r="A1007" s="3"/>
      <c r="B1007" s="3"/>
      <c r="C1007" s="19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</row>
    <row r="1008">
      <c r="A1008" s="3"/>
      <c r="B1008" s="3"/>
      <c r="C1008" s="19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</row>
    <row r="1009">
      <c r="A1009" s="3"/>
      <c r="B1009" s="3"/>
      <c r="C1009" s="19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</row>
    <row r="1010">
      <c r="A1010" s="3"/>
      <c r="B1010" s="3"/>
      <c r="C1010" s="19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</row>
    <row r="1011">
      <c r="A1011" s="3"/>
      <c r="B1011" s="3"/>
      <c r="C1011" s="19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</row>
    <row r="1012">
      <c r="A1012" s="3"/>
      <c r="B1012" s="3"/>
      <c r="C1012" s="19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</row>
    <row r="1013">
      <c r="A1013" s="3"/>
      <c r="B1013" s="3"/>
      <c r="C1013" s="19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</row>
    <row r="1014">
      <c r="A1014" s="3"/>
      <c r="B1014" s="3"/>
      <c r="C1014" s="19"/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</row>
    <row r="1015">
      <c r="A1015" s="3"/>
      <c r="B1015" s="3"/>
      <c r="C1015" s="19"/>
      <c r="D1015" s="3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</row>
    <row r="1016">
      <c r="A1016" s="3"/>
      <c r="B1016" s="3"/>
      <c r="C1016" s="19"/>
      <c r="D1016" s="3"/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</row>
    <row r="1017">
      <c r="A1017" s="3"/>
      <c r="B1017" s="3"/>
      <c r="C1017" s="19"/>
      <c r="D1017" s="3"/>
      <c r="E1017" s="3"/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</row>
    <row r="1018">
      <c r="A1018" s="3"/>
      <c r="B1018" s="3"/>
      <c r="C1018" s="19"/>
      <c r="D1018" s="3"/>
      <c r="E1018" s="3"/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</row>
    <row r="1019">
      <c r="A1019" s="3"/>
      <c r="B1019" s="3"/>
      <c r="C1019" s="19"/>
      <c r="D1019" s="3"/>
      <c r="E1019" s="3"/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</row>
    <row r="1020">
      <c r="A1020" s="3"/>
      <c r="B1020" s="3"/>
      <c r="C1020" s="19"/>
      <c r="D1020" s="3"/>
      <c r="E1020" s="3"/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</row>
    <row r="1021">
      <c r="A1021" s="3"/>
      <c r="B1021" s="3"/>
      <c r="C1021" s="19"/>
      <c r="D1021" s="3"/>
      <c r="E1021" s="3"/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</row>
    <row r="1022">
      <c r="A1022" s="3"/>
      <c r="B1022" s="3"/>
      <c r="C1022" s="19"/>
      <c r="D1022" s="3"/>
      <c r="E1022" s="3"/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</row>
    <row r="1023">
      <c r="A1023" s="3"/>
      <c r="B1023" s="3"/>
      <c r="C1023" s="19"/>
      <c r="D1023" s="3"/>
      <c r="E1023" s="3"/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</row>
    <row r="1024">
      <c r="A1024" s="3"/>
      <c r="B1024" s="3"/>
      <c r="C1024" s="19"/>
      <c r="D1024" s="3"/>
      <c r="E1024" s="3"/>
      <c r="F1024" s="3"/>
      <c r="G1024" s="3"/>
      <c r="H1024" s="3"/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</row>
    <row r="1025">
      <c r="A1025" s="3"/>
      <c r="B1025" s="3"/>
      <c r="C1025" s="19"/>
      <c r="D1025" s="3"/>
      <c r="E1025" s="3"/>
      <c r="F1025" s="3"/>
      <c r="G1025" s="3"/>
      <c r="H1025" s="3"/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</row>
    <row r="1026">
      <c r="A1026" s="3"/>
      <c r="B1026" s="3"/>
      <c r="C1026" s="19"/>
      <c r="D1026" s="3"/>
      <c r="E1026" s="3"/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</row>
    <row r="1027">
      <c r="A1027" s="3"/>
      <c r="B1027" s="3"/>
      <c r="C1027" s="19"/>
      <c r="D1027" s="3"/>
      <c r="E1027" s="3"/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</row>
    <row r="1028">
      <c r="A1028" s="3"/>
      <c r="B1028" s="3"/>
      <c r="C1028" s="19"/>
      <c r="D1028" s="3"/>
      <c r="E1028" s="3"/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</row>
    <row r="1029">
      <c r="A1029" s="3"/>
      <c r="B1029" s="3"/>
      <c r="C1029" s="19"/>
      <c r="D1029" s="3"/>
      <c r="E1029" s="3"/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</row>
    <row r="1030">
      <c r="A1030" s="3"/>
      <c r="B1030" s="3"/>
      <c r="C1030" s="19"/>
      <c r="D1030" s="3"/>
      <c r="E1030" s="3"/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</row>
  </sheetData>
  <mergeCells count="5">
    <mergeCell ref="B1:C1"/>
    <mergeCell ref="B14:C14"/>
    <mergeCell ref="B27:C27"/>
    <mergeCell ref="B41:C41"/>
    <mergeCell ref="C43:C44"/>
  </mergeCells>
  <conditionalFormatting sqref="C29:C36">
    <cfRule type="cellIs" dxfId="0" priority="1" operator="lessThanOrEqual">
      <formula>0</formula>
    </cfRule>
  </conditionalFormatting>
  <conditionalFormatting sqref="C29:C36">
    <cfRule type="cellIs" dxfId="1" priority="2" operator="greaterThan">
      <formula>0</formula>
    </cfRule>
  </conditionalFormatting>
  <drawing r:id="rId1"/>
</worksheet>
</file>